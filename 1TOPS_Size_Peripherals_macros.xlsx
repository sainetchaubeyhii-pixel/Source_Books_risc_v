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Ie Estimation " sheetId="1" r:id="rId4"/>
    <sheet state="visible" name="IO on 65nm To calculate the num" sheetId="2" r:id="rId5"/>
    <sheet state="visible" name="Peripheral" sheetId="3" r:id="rId6"/>
    <sheet state="visible" name="Hard Macros" sheetId="4" r:id="rId7"/>
    <sheet state="visible" name="TSMC 65nm details" sheetId="5" r:id="rId8"/>
  </sheets>
  <definedNames/>
  <calcPr/>
  <extLst>
    <ext uri="GoogleSheetsCustomDataVersion2">
      <go:sheetsCustomData xmlns:go="http://customooxmlschemas.google.com/" r:id="rId9" roundtripDataChecksum="9oadpVT3/6qvdQ9yb1P6scqU9uwWnToZa4gkJQyJY4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
ID#AAABzc-yWI8
Gaurav Shrivastav    (2026-02-15 11:18:42)
@aparajita007@gmail.com 
Aparajita, I think the SRAM area calculations in the table are not correct since they dont include the area of peripheral logic (decoders, input/output drivers etc). I have added those and my numbers come out around 4x of what is mentioned in the table. 
Can you please assign this to the coach who created the table and ask them to double check?
_Assigned to aparajita banerjee_</t>
      </text>
    </comment>
  </commentList>
  <extLst>
    <ext uri="GoogleSheetsCustomDataVersion2">
      <go:sheetsCustomData xmlns:go="http://customooxmlschemas.google.com/" r:id="rId1" roundtripDataSignature="AMtx7mhSWoTf5YZ1DFTjvl5p84BkvtaZl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
      <text>
        <t xml:space="preserve">======
ID#AAABzc-yWJA
Gaurav Shrivastav    (2026-02-15 11:33:06)
so with ~50% utilization, we can have 500K gates/mm2
@aparajita007@gmail.com</t>
      </text>
    </comment>
  </commentList>
  <extLst>
    <ext uri="GoogleSheetsCustomDataVersion2">
      <go:sheetsCustomData xmlns:go="http://customooxmlschemas.google.com/" r:id="rId1" roundtripDataSignature="AMtx7mjnil+n2N63BHl2yegpmvG4LhcK6A=="/>
    </ext>
  </extLst>
</comments>
</file>

<file path=xl/sharedStrings.xml><?xml version="1.0" encoding="utf-8"?>
<sst xmlns="http://schemas.openxmlformats.org/spreadsheetml/2006/main" count="172" uniqueCount="171">
  <si>
    <t>Many 65nm MPW providers offer fixed block sizes</t>
  </si>
  <si>
    <t>Step 1: Calculate the "Effective" Footprint per Chip</t>
  </si>
  <si>
    <r>
      <rPr>
        <rFont val="Arial"/>
        <color theme="1"/>
        <sz val="11.0"/>
      </rPr>
      <t xml:space="preserve"> You must account for the </t>
    </r>
    <r>
      <rPr>
        <rFont val="Arial"/>
        <b/>
        <color theme="1"/>
        <sz val="11.0"/>
      </rPr>
      <t>Seal Ring</t>
    </r>
    <r>
      <rPr>
        <rFont val="Arial"/>
        <color theme="1"/>
        <sz val="11.0"/>
      </rPr>
      <t xml:space="preserve"> and the </t>
    </r>
    <r>
      <rPr>
        <rFont val="Arial"/>
        <b/>
        <color theme="1"/>
        <sz val="11.0"/>
      </rPr>
      <t>Scribe Lines</t>
    </r>
    <r>
      <rPr>
        <rFont val="Arial"/>
        <color theme="1"/>
        <sz val="11.0"/>
      </rPr>
      <t>.</t>
    </r>
  </si>
  <si>
    <r>
      <rPr>
        <rFont val="Arial"/>
        <b/>
        <color theme="1"/>
        <sz val="11.0"/>
      </rPr>
      <t>1. Seal Ring:</t>
    </r>
    <r>
      <rPr>
        <rFont val="Arial"/>
        <b val="0"/>
        <color theme="1"/>
        <sz val="11.0"/>
      </rPr>
      <t xml:space="preserve"> A metal/dielectric "fence" around your chip to prevent moisture and cracks. This is usually included </t>
    </r>
    <r>
      <rPr>
        <rFont val="Arial"/>
        <b val="0"/>
        <i/>
        <color theme="1"/>
        <sz val="11.0"/>
      </rPr>
      <t>inside</t>
    </r>
    <r>
      <rPr>
        <rFont val="Arial"/>
        <b val="0"/>
        <color theme="1"/>
        <sz val="11.0"/>
      </rPr>
      <t xml:space="preserve"> your 1.5mm dimension.</t>
    </r>
  </si>
  <si>
    <r>
      <rPr>
        <rFont val="Arial"/>
        <b/>
        <color theme="1"/>
        <sz val="11.0"/>
      </rPr>
      <t>2. Scribe Line (Dicing Street):</t>
    </r>
    <r>
      <rPr>
        <rFont val="Arial"/>
        <b val="0"/>
        <color theme="1"/>
        <sz val="11.0"/>
      </rPr>
      <t xml:space="preserve"> The gap where the saw cuts the wafer. For TSMC 65nm, the standard scribe width is 80\ mum (0.08mm)</t>
    </r>
  </si>
  <si>
    <t>3. Calculation:</t>
  </si>
  <si>
    <r>
      <rPr>
        <rFont val="Arial"/>
        <b/>
        <color theme="1"/>
        <sz val="11.0"/>
      </rPr>
      <t>Effective Width:</t>
    </r>
    <r>
      <rPr>
        <rFont val="Arial"/>
        <b val="0"/>
        <color theme="1"/>
        <sz val="11.0"/>
      </rPr>
      <t xml:space="preserve"> Effective Width: 1.5 mm + 0.08  mm = 1.58 mm</t>
    </r>
  </si>
  <si>
    <r>
      <rPr>
        <rFont val="Arial"/>
        <b/>
        <color theme="1"/>
        <sz val="11.0"/>
      </rPr>
      <t>Effective Area per Chip:</t>
    </r>
    <r>
      <rPr>
        <rFont val="Arial"/>
        <b val="0"/>
        <color theme="1"/>
        <sz val="11.0"/>
      </rPr>
      <t xml:space="preserve"> 1.58*1.58 ~ 2.5mm^2</t>
    </r>
  </si>
  <si>
    <t>Step 2: Total Area for 38 Chips</t>
  </si>
  <si>
    <t>If you are putting all 38 chips onto one "tile" of the MPW:</t>
  </si>
  <si>
    <r>
      <rPr>
        <rFont val="Arial"/>
        <b/>
        <color theme="1"/>
        <sz val="11.0"/>
      </rPr>
      <t>Total Silicon Area:</t>
    </r>
    <r>
      <rPr>
        <rFont val="Arial"/>
        <b val="0"/>
        <color theme="1"/>
        <sz val="11.0"/>
      </rPr>
      <t xml:space="preserve"> 38 * 2.5  mm^2 = 95  mm^2</t>
    </r>
  </si>
  <si>
    <r>
      <rPr>
        <rFont val="Arial"/>
        <b/>
        <color theme="1"/>
        <sz val="11.0"/>
      </rPr>
      <t>Dimensions if Square:</t>
    </r>
    <r>
      <rPr>
        <rFont val="Arial"/>
        <b val="0"/>
        <color theme="1"/>
        <sz val="11.0"/>
      </rPr>
      <t xml:space="preserve"> 9.75 mm* 9.75 mm</t>
    </r>
  </si>
  <si>
    <t>Step 3: Determining the MPW "Tile" Strategy</t>
  </si>
  <si>
    <r>
      <rPr>
        <rFont val="Aptos Narrow"/>
        <color theme="1"/>
      </rPr>
      <t xml:space="preserve">Most MPW providers (like Europractice, Mosis, or Muse) don't sell area by the millimeter; they sell </t>
    </r>
    <r>
      <rPr>
        <rFont val="Aptos Narrow"/>
        <b/>
        <color theme="1"/>
        <sz val="11.0"/>
      </rPr>
      <t>fixed-size slots</t>
    </r>
    <r>
      <rPr>
        <rFont val="Aptos Narrow"/>
        <color theme="1"/>
        <sz val="11.0"/>
      </rPr>
      <t xml:space="preserve"> or </t>
    </r>
    <r>
      <rPr>
        <rFont val="Aptos Narrow"/>
        <b/>
        <color theme="1"/>
        <sz val="11.0"/>
      </rPr>
      <t>blocks</t>
    </r>
    <r>
      <rPr>
        <rFont val="Aptos Narrow"/>
        <color theme="1"/>
        <sz val="11.0"/>
      </rPr>
      <t>.</t>
    </r>
  </si>
  <si>
    <r>
      <rPr>
        <rFont val="Arial"/>
        <color theme="1"/>
        <sz val="11.0"/>
      </rPr>
      <t xml:space="preserve">If your 38 chips are all </t>
    </r>
    <r>
      <rPr>
        <rFont val="Arial"/>
        <i/>
        <color theme="1"/>
        <sz val="11.0"/>
      </rPr>
      <t>different</t>
    </r>
    <r>
      <rPr>
        <rFont val="Arial"/>
        <color theme="1"/>
        <sz val="11.0"/>
      </rPr>
      <t xml:space="preserve"> designs (e.g., 38 different student projects), you would arrange them in a grid:</t>
    </r>
  </si>
  <si>
    <t>Option A  ( More Spares )</t>
  </si>
  <si>
    <r>
      <rPr>
        <rFont val="Arial"/>
        <b/>
        <color theme="1"/>
        <sz val="11.0"/>
      </rPr>
      <t>Layout:</t>
    </r>
    <r>
      <rPr>
        <rFont val="Arial"/>
        <b val="0"/>
        <color theme="1"/>
        <sz val="11.0"/>
      </rPr>
      <t xml:space="preserve"> A 6 *7 grid (42 slots total) would fit your 38 chips plus 4 spares.</t>
    </r>
  </si>
  <si>
    <r>
      <rPr>
        <rFont val="Arial"/>
        <b/>
        <color theme="1"/>
        <sz val="11.0"/>
      </rPr>
      <t>Total Tile Size:</t>
    </r>
    <r>
      <rPr>
        <rFont val="Arial"/>
        <b val="0"/>
        <color theme="1"/>
        <sz val="11.0"/>
      </rPr>
      <t xml:space="preserve"> (6 *1.58) * (7*1.58) = 9.48 mm*11.06mm</t>
    </r>
  </si>
  <si>
    <t xml:space="preserve">  Option B  ( Less Area )</t>
  </si>
  <si>
    <r>
      <rPr>
        <rFont val="Arial"/>
        <b/>
        <color theme="1"/>
        <sz val="11.0"/>
      </rPr>
      <t>Layout:</t>
    </r>
    <r>
      <rPr>
        <rFont val="Arial"/>
        <b val="0"/>
        <color theme="1"/>
        <sz val="11.0"/>
      </rPr>
      <t xml:space="preserve"> A 5 *8 grid (4 slots total) would fit your 38 chips plus 2 spares.</t>
    </r>
  </si>
  <si>
    <r>
      <rPr>
        <rFont val="Arial"/>
        <b/>
        <color theme="1"/>
        <sz val="11.0"/>
      </rPr>
      <t>Total Tile Size:</t>
    </r>
    <r>
      <rPr>
        <rFont val="Arial"/>
        <b val="0"/>
        <color theme="1"/>
        <sz val="11.0"/>
      </rPr>
      <t xml:space="preserve"> (5 *1.58) * (8*1.58) = 7.9 mm*12.64mm</t>
    </r>
  </si>
  <si>
    <t>Step 4: Yield Estimation (The "Is it worth it?" check)</t>
  </si>
  <si>
    <t>Since your chips are very small 1.5mm^2, the yield will be extremely high.</t>
  </si>
  <si>
    <r>
      <rPr>
        <rFont val="Arial"/>
        <b/>
        <color theme="1"/>
        <sz val="11.0"/>
      </rPr>
      <t>Defect Density (D0):</t>
    </r>
    <r>
      <rPr>
        <rFont val="Arial"/>
        <b val="0"/>
        <color theme="1"/>
        <sz val="11.0"/>
      </rPr>
      <t xml:space="preserve"> 0.2 /cm^2</t>
    </r>
  </si>
  <si>
    <r>
      <rPr>
        <rFont val="Arial"/>
        <b/>
        <color theme="1"/>
        <sz val="11.0"/>
      </rPr>
      <t>Area ($A$):</t>
    </r>
    <r>
      <rPr>
        <rFont val="Arial"/>
        <b val="0"/>
        <color theme="1"/>
        <sz val="11.0"/>
      </rPr>
      <t xml:space="preserve"> 0.0225 cm^2</t>
    </r>
  </si>
  <si>
    <r>
      <rPr>
        <rFont val="Arial"/>
        <b/>
        <color theme="1"/>
        <sz val="11.0"/>
      </rPr>
      <t>Yield ($Y$):</t>
    </r>
    <r>
      <rPr>
        <rFont val="Arial"/>
        <b val="0"/>
        <color theme="1"/>
        <sz val="11.0"/>
      </rPr>
      <t xml:space="preserve"> Using the formula from earlier, your yield per chip is </t>
    </r>
    <r>
      <rPr>
        <rFont val="Arial"/>
        <b/>
        <color theme="1"/>
        <sz val="11.0"/>
      </rPr>
      <t>&gt;99%</t>
    </r>
    <r>
      <rPr>
        <rFont val="Arial"/>
        <b val="0"/>
        <color theme="1"/>
        <sz val="11.0"/>
      </rPr>
      <t>.</t>
    </r>
  </si>
  <si>
    <r>
      <rPr>
        <rFont val="Arial"/>
        <b/>
        <color theme="1"/>
        <sz val="11.0"/>
      </rPr>
      <t>Result:</t>
    </r>
    <r>
      <rPr>
        <rFont val="Arial"/>
        <b val="0"/>
        <color theme="1"/>
        <sz val="11.0"/>
      </rPr>
      <t xml:space="preserve"> Out of 38 chips, you should expect </t>
    </r>
    <r>
      <rPr>
        <rFont val="Arial"/>
        <b/>
        <color theme="1"/>
        <sz val="11.0"/>
      </rPr>
      <t>37 to 38</t>
    </r>
    <r>
      <rPr>
        <rFont val="Arial"/>
        <b val="0"/>
        <color theme="1"/>
        <sz val="11.0"/>
      </rPr>
      <t xml:space="preserve"> of them to be perfectly functional from a manufacturing standpoint.</t>
    </r>
  </si>
  <si>
    <t>Step 5: Cost Estimation Shortcut</t>
  </si>
  <si>
    <r>
      <rPr>
        <rFont val="Arial"/>
        <color theme="1"/>
        <sz val="11.0"/>
      </rPr>
      <t xml:space="preserve">In TSMC 65nm, MPW costs roughly </t>
    </r>
    <r>
      <rPr>
        <rFont val="Arial"/>
        <b/>
        <color theme="1"/>
        <sz val="11.0"/>
      </rPr>
      <t>2,000$ to 3,500$ per {mm}^2</t>
    </r>
    <r>
      <rPr>
        <rFont val="Arial"/>
        <color theme="1"/>
        <sz val="11.0"/>
      </rPr>
      <t xml:space="preserve"> (depending on the provider and metal stack).</t>
    </r>
  </si>
  <si>
    <r>
      <rPr>
        <rFont val="Arial"/>
        <b/>
        <color theme="1"/>
        <sz val="11.0"/>
      </rPr>
      <t>Cost for 1 Slot (1.5 * 1.5):</t>
    </r>
    <r>
      <rPr>
        <rFont val="Arial"/>
        <b val="0"/>
        <color theme="1"/>
        <sz val="11.0"/>
      </rPr>
      <t xml:space="preserve"> approx $5,000 -- $8,000  (You get  ~ 40 copies).</t>
    </r>
  </si>
  <si>
    <r>
      <rPr>
        <rFont val="Arial"/>
        <b/>
        <color theme="1"/>
        <sz val="11.0"/>
      </rPr>
      <t>Cost for 38 Different Designs:</t>
    </r>
    <r>
      <rPr>
        <rFont val="Arial"/>
        <b val="0"/>
        <color theme="1"/>
        <sz val="11.0"/>
      </rPr>
      <t xml:space="preserve"> approx $200,000 -- $300,000 </t>
    </r>
  </si>
  <si>
    <r>
      <rPr>
        <rFont val="Arial"/>
        <color theme="1"/>
        <sz val="11.0"/>
      </rPr>
      <t xml:space="preserve">To calculate the number of I/O cells you can fit, we first need to determine the </t>
    </r>
    <r>
      <rPr>
        <rFont val="Arial"/>
        <b/>
        <color theme="1"/>
        <sz val="11.0"/>
      </rPr>
      <t>Peripheral length</t>
    </r>
    <r>
      <rPr>
        <rFont val="Arial"/>
        <color theme="1"/>
        <sz val="11.0"/>
      </rPr>
      <t xml:space="preserve"> (the boundary) of your 1.5mm * 1.5mm chip.</t>
    </r>
  </si>
  <si>
    <r>
      <rPr>
        <rFont val="Arial"/>
        <color theme="1"/>
        <sz val="11.0"/>
      </rPr>
      <t xml:space="preserve">In TSMC 65nm, the number of pins is usually limited by the </t>
    </r>
    <r>
      <rPr>
        <rFont val="Arial"/>
        <b/>
        <color theme="1"/>
        <sz val="11.0"/>
      </rPr>
      <t>physical width of the I/O pads</t>
    </r>
    <r>
      <rPr>
        <rFont val="Arial"/>
        <color theme="1"/>
        <sz val="11.0"/>
      </rPr>
      <t xml:space="preserve"> rather than the silicon area.</t>
    </r>
  </si>
  <si>
    <t>1. The Perimeter Calculation</t>
  </si>
  <si>
    <t>For a 1.5 mm square chip:</t>
  </si>
  <si>
    <r>
      <rPr>
        <rFont val="Arial"/>
        <b/>
        <color theme="1"/>
        <sz val="11.0"/>
      </rPr>
      <t>Total Perimeter:</t>
    </r>
    <r>
      <rPr>
        <rFont val="Arial"/>
        <b val="0"/>
        <color theme="1"/>
        <sz val="11.0"/>
      </rPr>
      <t xml:space="preserve"> 1.5mm* 4 = 6.0mm 6000 um</t>
    </r>
  </si>
  <si>
    <r>
      <rPr>
        <rFont val="Arial"/>
        <b/>
        <color theme="1"/>
        <sz val="11.0"/>
      </rPr>
      <t>Corner Loss:</t>
    </r>
    <r>
      <rPr>
        <rFont val="Arial"/>
        <b val="0"/>
        <color theme="1"/>
        <sz val="11.0"/>
      </rPr>
      <t xml:space="preserve"> You lose area at the four corners for "Corner Cells" (which handle power continuity and ESD). Usually, each corner takes about 150--200um</t>
    </r>
  </si>
  <si>
    <r>
      <rPr>
        <rFont val="Arial"/>
        <b/>
        <color theme="1"/>
        <sz val="11.0"/>
      </rPr>
      <t>Effective Linear Space:</t>
    </r>
    <r>
      <rPr>
        <rFont val="Arial"/>
        <b val="0"/>
        <color theme="1"/>
        <sz val="11.0"/>
      </rPr>
      <t xml:space="preserve"> ~ 5200um of usable space for pads.</t>
    </r>
  </si>
  <si>
    <t>2. I/O Cell Pitch (TSMC 65nm)</t>
  </si>
  <si>
    <t>In this node, standard Digital I/O pads (GPIO) typically come in two flavors:</t>
  </si>
  <si>
    <r>
      <rPr>
        <rFont val="Arial"/>
        <b/>
        <color theme="1"/>
        <sz val="11.0"/>
      </rPr>
      <t>Standard Pitch:</t>
    </r>
    <r>
      <rPr>
        <rFont val="Arial"/>
        <b val="0"/>
        <color theme="1"/>
        <sz val="11.0"/>
      </rPr>
      <t xml:space="preserve"> 80um wide.</t>
    </r>
  </si>
  <si>
    <r>
      <rPr>
        <rFont val="Arial"/>
        <b/>
        <color theme="1"/>
        <sz val="11.0"/>
      </rPr>
      <t>Staggered/High Density:</t>
    </r>
    <r>
      <rPr>
        <rFont val="Arial"/>
        <b val="0"/>
        <color theme="1"/>
        <sz val="11.0"/>
      </rPr>
      <t xml:space="preserve"> 40--60um wide.</t>
    </r>
  </si>
  <si>
    <r>
      <rPr>
        <rFont val="Arial"/>
        <color theme="1"/>
        <sz val="11.0"/>
      </rPr>
      <t xml:space="preserve">Using a </t>
    </r>
    <r>
      <rPr>
        <rFont val="Arial"/>
        <b/>
        <color theme="1"/>
        <sz val="11.0"/>
      </rPr>
      <t>60um  pitch</t>
    </r>
    <r>
      <rPr>
        <rFont val="Arial"/>
        <color theme="1"/>
        <sz val="11.0"/>
      </rPr>
      <t xml:space="preserve"> (conservative estimate for a startup design)</t>
    </r>
  </si>
  <si>
    <t xml:space="preserve">Max_pads = 5200um/60um ~=  86 pads </t>
  </si>
  <si>
    <t>3. Allocation Strategy</t>
  </si>
  <si>
    <t>You cannot use all 86 pads for signals. You must allocate "Supply Pins" for the I/O ring (VDDIO/VSSIO) and the Core (VDD/VSS).</t>
  </si>
  <si>
    <t>A. Static/Power Pins (The "Mandatory" stuff)</t>
  </si>
  <si>
    <r>
      <rPr>
        <rFont val="Arial"/>
        <b/>
        <color theme="1"/>
        <sz val="11.0"/>
      </rPr>
      <t>I/O Power/Ground:</t>
    </r>
    <r>
      <rPr>
        <rFont val="Arial"/>
        <b val="0"/>
        <color theme="1"/>
        <sz val="11.0"/>
      </rPr>
      <t xml:space="preserve"> 4 pairs (one per side) = </t>
    </r>
    <r>
      <rPr>
        <rFont val="Arial"/>
        <b/>
        <color theme="1"/>
        <sz val="11.0"/>
      </rPr>
      <t>8 pins</t>
    </r>
  </si>
  <si>
    <r>
      <rPr>
        <rFont val="Arial"/>
        <b/>
        <color theme="1"/>
        <sz val="11.0"/>
      </rPr>
      <t>Core Power/Ground:</t>
    </r>
    <r>
      <rPr>
        <rFont val="Arial"/>
        <b val="0"/>
        <color theme="1"/>
        <sz val="11.0"/>
      </rPr>
      <t xml:space="preserve"> 4 pairs (one per side) = </t>
    </r>
    <r>
      <rPr>
        <rFont val="Arial"/>
        <b/>
        <color theme="1"/>
        <sz val="11.0"/>
      </rPr>
      <t>8 pins</t>
    </r>
  </si>
  <si>
    <r>
      <rPr>
        <rFont val="Arial"/>
        <b/>
        <color theme="1"/>
        <sz val="11.0"/>
      </rPr>
      <t>Analog Power (AVDD/AVSS):</t>
    </r>
    <r>
      <rPr>
        <rFont val="Arial"/>
        <b val="0"/>
        <color theme="1"/>
        <sz val="11.0"/>
      </rPr>
      <t xml:space="preserve"> 1 pair = </t>
    </r>
    <r>
      <rPr>
        <rFont val="Arial"/>
        <b/>
        <color theme="1"/>
        <sz val="11.0"/>
      </rPr>
      <t>2 pins</t>
    </r>
  </si>
  <si>
    <r>
      <rPr>
        <rFont val="Aptos Narrow"/>
        <b/>
        <color theme="1"/>
        <sz val="11.0"/>
      </rPr>
      <t>Total Power Pins:</t>
    </r>
    <r>
      <rPr>
        <rFont val="Aptos Narrow"/>
        <b val="0"/>
        <color theme="1"/>
        <sz val="11.0"/>
      </rPr>
      <t xml:space="preserve"> </t>
    </r>
    <r>
      <rPr>
        <rFont val="Aptos Narrow"/>
        <b/>
        <color theme="1"/>
        <sz val="11.0"/>
      </rPr>
      <t>18 pins</t>
    </r>
  </si>
  <si>
    <t xml:space="preserve">. Peripheral Allocation (The "Leftover" stuff) ( Approx ) </t>
  </si>
  <si>
    <t>With approx 68 signal pins remaining:</t>
  </si>
  <si>
    <t>Interface</t>
  </si>
  <si>
    <t>Pins Required</t>
  </si>
  <si>
    <t>Notes</t>
  </si>
  <si>
    <t>QSPI</t>
  </si>
  <si>
    <t>CS, CLK, IO0, IO1, IO2, IO3</t>
  </si>
  <si>
    <t>SPI</t>
  </si>
  <si>
    <t>CS, CLK, MISO, MOSI</t>
  </si>
  <si>
    <t>UART</t>
  </si>
  <si>
    <t>TX, RX</t>
  </si>
  <si>
    <t>Analog Pins</t>
  </si>
  <si>
    <t>ADC inputs (require specific Analog I/O cells)</t>
  </si>
  <si>
    <t>Debug (JTAG)</t>
  </si>
  <si>
    <t>TCK, TMS, TDI, TDO, TRST</t>
  </si>
  <si>
    <t>GPIO</t>
  </si>
  <si>
    <t>Reset/Clock</t>
  </si>
  <si>
    <t>RESET_N, XTAL_IN</t>
  </si>
  <si>
    <t>Total Used</t>
  </si>
  <si>
    <t>SRAM</t>
  </si>
  <si>
    <t>The Standard 6-T Bitcell Sizes</t>
  </si>
  <si>
    <t>Bitcell Type</t>
  </si>
  <si>
    <t>Size in μm2 (Approx)</t>
  </si>
  <si>
    <t>Use Case</t>
  </si>
  <si>
    <t>High Density (HD)</t>
  </si>
  <si>
    <t>0.499--0.52um^2</t>
  </si>
  <si>
    <t>General purpose, storage, low power.</t>
  </si>
  <si>
    <t>HD bitcell area (um2)</t>
  </si>
  <si>
    <t>High Performance (HP)</t>
  </si>
  <si>
    <t>0.7-0.8um^2</t>
  </si>
  <si>
    <t>L1 Cache, high-speed DSP buffers.</t>
  </si>
  <si>
    <t>SRAM size (kB)</t>
  </si>
  <si>
    <t>Low Voltage (LV)</t>
  </si>
  <si>
    <t>0.6-0.9um^2</t>
  </si>
  <si>
    <t>Designed for stability at 0.7V or 0.8V.</t>
  </si>
  <si>
    <t>bit count</t>
  </si>
  <si>
    <t>SRAM efficiency</t>
  </si>
  <si>
    <t>Area of the SRAM Macro</t>
  </si>
  <si>
    <t>SRAM Capacity</t>
  </si>
  <si>
    <t>Total Area (mm2)</t>
  </si>
  <si>
    <t>Percentage of 1.5 mm2 chip</t>
  </si>
  <si>
    <t>8 KB</t>
  </si>
  <si>
    <t>approx 0.02mm^2</t>
  </si>
  <si>
    <t>32 KB</t>
  </si>
  <si>
    <t>approx 0.06mm^2</t>
  </si>
  <si>
    <t>128 KB</t>
  </si>
  <si>
    <t>approx 0.20mm^2</t>
  </si>
  <si>
    <t>512 KB</t>
  </si>
  <si>
    <t>approx 0.75mm^2</t>
  </si>
  <si>
    <t>1 MB</t>
  </si>
  <si>
    <t>$\approx 1.45\text{ mm}^2$</t>
  </si>
  <si>
    <t>How to estimate for your MPW?</t>
  </si>
  <si>
    <t>Since you are doing 38 different designs, if each design is a small RISC-V core:</t>
  </si>
  <si>
    <r>
      <rPr>
        <rFont val="Arial"/>
        <b/>
        <color theme="1"/>
        <sz val="11.0"/>
      </rPr>
      <t>1. Instruction/Data Cache:</t>
    </r>
    <r>
      <rPr>
        <rFont val="Arial"/>
        <b val="0"/>
        <color theme="1"/>
        <sz val="11.0"/>
      </rPr>
      <t xml:space="preserve"> 8KB to 16 KB standard for 65nm low-power cores.</t>
    </r>
  </si>
  <si>
    <r>
      <rPr>
        <rFont val="Arial"/>
        <b/>
        <color theme="1"/>
        <sz val="11.0"/>
      </rPr>
      <t>2. Tightly Coupled Memory (TCM):</t>
    </r>
    <r>
      <rPr>
        <rFont val="Arial"/>
        <b val="0"/>
        <color theme="1"/>
        <sz val="11.0"/>
      </rPr>
      <t xml:space="preserve"> 32KB to 64KB is a "sweet spot" that leaves plenty of room for logic and I/Os.</t>
    </r>
  </si>
  <si>
    <t>1. Clocking &amp; Timing Macros</t>
  </si>
  <si>
    <r>
      <rPr>
        <rFont val="Arial"/>
        <b/>
        <color theme="1"/>
        <sz val="11.0"/>
      </rPr>
      <t>PLL (Phase-Locked Loop):</t>
    </r>
    <r>
      <rPr>
        <rFont val="Arial"/>
        <b val="0"/>
        <color theme="1"/>
        <sz val="11.0"/>
      </rPr>
      <t xml:space="preserve"> * </t>
    </r>
    <r>
      <rPr>
        <rFont val="Arial"/>
        <b/>
        <color theme="1"/>
        <sz val="11.0"/>
      </rPr>
      <t>Purpose:</t>
    </r>
    <r>
      <rPr>
        <rFont val="Arial"/>
        <b val="0"/>
        <color theme="1"/>
        <sz val="11.0"/>
      </rPr>
      <t xml:space="preserve"> Converts a slow external crystal (e.g., 25MHz to a high internal clock (e.g., 500MHz).</t>
    </r>
  </si>
  <si>
    <r>
      <rPr>
        <rFont val="Arial"/>
        <b/>
        <color theme="1"/>
        <sz val="11.0"/>
      </rPr>
      <t>Area:</t>
    </r>
    <r>
      <rPr>
        <rFont val="Arial"/>
        <b val="0"/>
        <color theme="1"/>
        <sz val="11.0"/>
      </rPr>
      <t xml:space="preserve"> approx 0.08 - 0.15 mm^2</t>
    </r>
  </si>
  <si>
    <r>
      <rPr>
        <rFont val="Arial"/>
        <i/>
        <color theme="1"/>
        <sz val="11.0"/>
      </rPr>
      <t>Note:</t>
    </r>
    <r>
      <rPr>
        <rFont val="Arial"/>
        <i val="0"/>
        <color theme="1"/>
        <sz val="11.0"/>
      </rPr>
      <t xml:space="preserve"> It is quite large because it uses analog capacitors/inductors.</t>
    </r>
  </si>
  <si>
    <t>RC Oscillator:</t>
  </si>
  <si>
    <r>
      <rPr>
        <rFont val="Arial"/>
        <b/>
        <color theme="1"/>
        <sz val="11.0"/>
      </rPr>
      <t>Purpose:</t>
    </r>
    <r>
      <rPr>
        <rFont val="Arial"/>
        <b val="0"/>
        <color theme="1"/>
        <sz val="11.0"/>
      </rPr>
      <t xml:space="preserve"> An "on-chip" clock that doesn't need an external crystal. Good for low-power sleep modes.</t>
    </r>
  </si>
  <si>
    <r>
      <rPr>
        <rFont val="Arial"/>
        <b/>
        <color theme="1"/>
        <sz val="11.0"/>
      </rPr>
      <t>Area:</t>
    </r>
    <r>
      <rPr>
        <rFont val="Arial"/>
        <b val="0"/>
        <color theme="1"/>
        <sz val="11.0"/>
      </rPr>
      <t xml:space="preserve"> 0.01-0.03 mm^2</t>
    </r>
  </si>
  <si>
    <t>2. Power Management Macros</t>
  </si>
  <si>
    <t>LDO (Low Drop-Out Regulator):</t>
  </si>
  <si>
    <r>
      <rPr>
        <rFont val="Arial"/>
        <b/>
        <color theme="1"/>
        <sz val="11.0"/>
      </rPr>
      <t>Purpose:</t>
    </r>
    <r>
      <rPr>
        <rFont val="Arial"/>
        <b val="0"/>
        <color theme="1"/>
        <sz val="11.0"/>
      </rPr>
      <t xml:space="preserve"> Converts the I/O voltage (e.g., 3.3\V or 1.8V to the Core voltage 1.0V or 1.2V.</t>
    </r>
  </si>
  <si>
    <r>
      <rPr>
        <rFont val="Arial"/>
        <b/>
        <color theme="1"/>
        <sz val="11.0"/>
      </rPr>
      <t>Area:</t>
    </r>
    <r>
      <rPr>
        <rFont val="Arial"/>
        <b val="0"/>
        <color theme="1"/>
        <sz val="11.0"/>
      </rPr>
      <t xml:space="preserve"> approx 0.05 mm^2 per LDO</t>
    </r>
  </si>
  <si>
    <r>
      <rPr>
        <rFont val="Arial"/>
        <i/>
        <color theme="1"/>
        <sz val="11.0"/>
      </rPr>
      <t>Constraint:</t>
    </r>
    <r>
      <rPr>
        <rFont val="Arial"/>
        <i val="0"/>
        <color theme="1"/>
        <sz val="11.0"/>
      </rPr>
      <t xml:space="preserve"> Its area depends heavily on the "Current Drive" (how many mA your RISC-V core pulls).</t>
    </r>
  </si>
  <si>
    <t>POR (Power-On Reset):</t>
  </si>
  <si>
    <r>
      <rPr>
        <rFont val="Arial"/>
        <b/>
        <color theme="1"/>
        <sz val="11.0"/>
      </rPr>
      <t>Purpose:</t>
    </r>
    <r>
      <rPr>
        <rFont val="Arial"/>
        <b val="0"/>
        <color theme="1"/>
        <sz val="11.0"/>
      </rPr>
      <t xml:space="preserve"> Ensures the chip stays in reset until the voltage is stable.</t>
    </r>
  </si>
  <si>
    <r>
      <rPr>
        <rFont val="Arial"/>
        <b/>
        <color theme="1"/>
        <sz val="11.0"/>
      </rPr>
      <t>Area:</t>
    </r>
    <r>
      <rPr>
        <rFont val="Arial"/>
        <b val="0"/>
        <color theme="1"/>
        <sz val="11.0"/>
      </rPr>
      <t xml:space="preserve"> approx 0.005 mm^2 (Very tiny).</t>
    </r>
  </si>
  <si>
    <t>3. Data Conversion (Analog Interface)</t>
  </si>
  <si>
    <t>SAR ADC (Analog-to-Digital Converter):</t>
  </si>
  <si>
    <r>
      <rPr>
        <rFont val="Arial"/>
        <b/>
        <color theme="1"/>
        <sz val="11.0"/>
      </rPr>
      <t>Purpose:</t>
    </r>
    <r>
      <rPr>
        <rFont val="Arial"/>
        <b val="0"/>
        <color theme="1"/>
        <sz val="11.0"/>
      </rPr>
      <t xml:space="preserve"> Reading sensors or battery voltage.</t>
    </r>
  </si>
  <si>
    <r>
      <rPr>
        <rFont val="Arial"/>
        <b/>
        <color theme="1"/>
        <sz val="11.0"/>
      </rPr>
      <t>Spec:</t>
    </r>
    <r>
      <rPr>
        <rFont val="Arial"/>
        <b val="0"/>
        <color theme="1"/>
        <sz val="11.0"/>
      </rPr>
      <t xml:space="preserve"> 10-bit or 12-bit, 1 MSPS.</t>
    </r>
  </si>
  <si>
    <r>
      <rPr>
        <rFont val="Arial"/>
        <b/>
        <color theme="1"/>
        <sz val="11.0"/>
      </rPr>
      <t>Area:</t>
    </r>
    <r>
      <rPr>
        <rFont val="Arial"/>
        <b val="0"/>
        <color theme="1"/>
        <sz val="11.0"/>
      </rPr>
      <t xml:space="preserve"> approx 0.05 mm^2  to  0.12 mm^2.</t>
    </r>
  </si>
  <si>
    <t>DAC (Digital-to-Analog Converter):</t>
  </si>
  <si>
    <r>
      <rPr>
        <rFont val="Arial"/>
        <b/>
        <color theme="1"/>
        <sz val="11.0"/>
      </rPr>
      <t>Purpose:</t>
    </r>
    <r>
      <rPr>
        <rFont val="Arial"/>
        <b val="0"/>
        <color theme="1"/>
        <sz val="11.0"/>
      </rPr>
      <t xml:space="preserve"> Generating analog signals or audio.</t>
    </r>
  </si>
  <si>
    <r>
      <rPr>
        <rFont val="Arial"/>
        <b/>
        <color theme="1"/>
        <sz val="11.0"/>
      </rPr>
      <t xml:space="preserve">Area: </t>
    </r>
    <r>
      <rPr>
        <rFont val="Arial"/>
        <b val="0"/>
        <color theme="1"/>
        <sz val="11.0"/>
      </rPr>
      <t>approx 0.03 mm^2 to 0.08mm^2</t>
    </r>
  </si>
  <si>
    <t>4. Security &amp; Storage</t>
  </si>
  <si>
    <t>eFuse / OTP (One-Time Programmable):</t>
  </si>
  <si>
    <r>
      <rPr>
        <rFont val="Arial"/>
        <b/>
        <color theme="1"/>
        <sz val="11.0"/>
      </rPr>
      <t>Purpose:</t>
    </r>
    <r>
      <rPr>
        <rFont val="Arial"/>
        <b val="0"/>
        <color theme="1"/>
        <sz val="11.0"/>
      </rPr>
      <t xml:space="preserve"> Storing unique Chip IDs, security keys, or trim values.</t>
    </r>
  </si>
  <si>
    <r>
      <rPr>
        <rFont val="Arial"/>
        <b/>
        <color theme="1"/>
        <sz val="11.0"/>
      </rPr>
      <t xml:space="preserve">Area: </t>
    </r>
    <r>
      <rPr>
        <rFont val="Arial"/>
        <b val="0"/>
        <color theme="1"/>
        <sz val="11.0"/>
      </rPr>
      <t>approx 0.02mm^2 to 0.05^2 (for 1K-2K bits).</t>
    </r>
  </si>
  <si>
    <t>TRNG (True Random Number Generator):</t>
  </si>
  <si>
    <r>
      <rPr>
        <rFont val="Arial"/>
        <b/>
        <color theme="1"/>
        <sz val="11.0"/>
      </rPr>
      <t>Purpose:</t>
    </r>
    <r>
      <rPr>
        <rFont val="Arial"/>
        <b val="0"/>
        <color theme="1"/>
        <sz val="11.0"/>
      </rPr>
      <t xml:space="preserve"> Cryptography/Security.</t>
    </r>
  </si>
  <si>
    <r>
      <rPr>
        <rFont val="Arial"/>
        <b/>
        <color theme="1"/>
        <sz val="11.0"/>
      </rPr>
      <t>Area:</t>
    </r>
    <r>
      <rPr>
        <rFont val="Arial"/>
        <b val="0"/>
        <color theme="1"/>
        <sz val="11.0"/>
      </rPr>
      <t xml:space="preserve"> approx 0.01mm^2</t>
    </r>
  </si>
  <si>
    <t xml:space="preserve">Area comparison in table </t>
  </si>
  <si>
    <t>Component</t>
  </si>
  <si>
    <t>Area (est.)</t>
  </si>
  <si>
    <t>% of Chip</t>
  </si>
  <si>
    <t>PULP RISC-V Core + Peripherals</t>
  </si>
  <si>
    <t>0.25 mm^2</t>
  </si>
  <si>
    <t>SRAM (64 KB)</t>
  </si>
  <si>
    <t>0.12 mm^2</t>
  </si>
  <si>
    <t>PLL + LDO + POR</t>
  </si>
  <si>
    <t>0.2 mm^2</t>
  </si>
  <si>
    <t>I/O Pad Ring (Perimeter)</t>
  </si>
  <si>
    <t>0.8 mm^2</t>
  </si>
  <si>
    <t>Unused/Routing/Logic Expansion</t>
  </si>
  <si>
    <t>0.88 mm^2</t>
  </si>
  <si>
    <t>1. NAND2 Gate Area (Estimated)</t>
  </si>
  <si>
    <t>Library Architecture</t>
  </si>
  <si>
    <t>Cell Height</t>
  </si>
  <si>
    <t>Cell Width</t>
  </si>
  <si>
    <t>Total Area</t>
  </si>
  <si>
    <t>9-Track (Standard)</t>
  </si>
  <si>
    <t>1.8µm</t>
  </si>
  <si>
    <t>0.6 µm - 0.8µm</t>
  </si>
  <si>
    <t>~1.08 µm² to 1.44 µm²</t>
  </si>
  <si>
    <t>7-Track (High Density)</t>
  </si>
  <si>
    <t>1.4µm</t>
  </si>
  <si>
    <t>0.6 µm - 0.8 µm</t>
  </si>
  <si>
    <t>~0.84 µm² to 1.12 µm²</t>
  </si>
  <si>
    <t>12-Track (Performance)</t>
  </si>
  <si>
    <t>2.4µm</t>
  </si>
  <si>
    <t>0.8 µm</t>
  </si>
  <si>
    <t>~1.92 µm²</t>
  </si>
  <si>
    <t>2. Gate Density Perspective</t>
  </si>
  <si>
    <t>TSMC 65nm is often cited for having a raw gate density of approximately 850,000 gates per mm² (850 KGate/mm²).</t>
  </si>
  <si>
    <t>If we take 1 mm ^2  (1,000,000 { µm}^2) and divide it by 850,000 gates:</t>
  </si>
  <si>
    <t>The average "gate" area (including routing overhead) is roughly 1.17 µm².</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</si>
</sst>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Aptos Narrow"/>
      <scheme val="minor"/>
    </font>
    <font>
      <b/>
      <sz val="16.0"/>
      <color theme="1"/>
      <name val="Aptos Narrow"/>
    </font>
    <font>
      <b/>
      <sz val="13.0"/>
      <color theme="1"/>
      <name val="Arial"/>
    </font>
    <font>
      <sz val="11.0"/>
      <color theme="1"/>
      <name val="Arial"/>
    </font>
    <font>
      <sz val="11.0"/>
      <color theme="1"/>
      <name val="Aptos Narrow"/>
    </font>
    <font>
      <b/>
      <sz val="11.0"/>
      <color theme="1"/>
      <name val="Arial"/>
    </font>
    <font>
      <b/>
      <sz val="13.0"/>
      <color theme="1"/>
      <name val="Aptos Narrow"/>
    </font>
    <font>
      <color theme="1"/>
      <name val="Aptos Narrow"/>
    </font>
    <font>
      <b/>
      <sz val="11.0"/>
      <color theme="1"/>
      <name val="Aptos Narrow"/>
    </font>
    <font>
      <color theme="1"/>
      <name val="Arial"/>
    </font>
    <font>
      <b/>
      <sz val="12.0"/>
      <color theme="1"/>
      <name val="Arial"/>
    </font>
    <font>
      <b/>
      <sz val="11.0"/>
      <color rgb="FF1F1F1F"/>
      <name val="Arial"/>
    </font>
    <font>
      <b/>
      <color theme="1"/>
      <name val="Arial"/>
    </font>
    <font>
      <sz val="11.0"/>
      <color rgb="FF1F1F1F"/>
      <name val="Arial"/>
    </font>
    <font>
      <i/>
      <sz val="11.0"/>
      <color theme="1"/>
      <name val="Arial"/>
    </font>
    <font>
      <b/>
      <color theme="1"/>
      <name val="Aptos Narrow"/>
    </font>
    <font>
      <color rgb="FF1F1F1F"/>
      <name val="Arial"/>
    </font>
    <font>
      <b/>
      <color rgb="FF1F1F1F"/>
      <name val="Arial"/>
    </font>
    <font>
      <b/>
      <sz val="14.0"/>
      <color theme="1"/>
      <name val="Google Sans"/>
    </font>
    <font>
      <b/>
      <sz val="14.0"/>
      <color theme="1"/>
      <name val="Arial"/>
    </font>
  </fonts>
  <fills count="2">
    <fill>
      <patternFill patternType="none"/>
    </fill>
    <fill>
      <patternFill patternType="lightGray"/>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horizontal="left" vertical="center"/>
    </xf>
    <xf borderId="0" fillId="0" fontId="5" numFmtId="0" xfId="0" applyAlignment="1" applyFont="1">
      <alignment horizontal="left" vertical="center"/>
    </xf>
    <xf borderId="0" fillId="0" fontId="3" numFmtId="0" xfId="0" applyAlignment="1" applyFont="1">
      <alignment horizontal="left" vertical="center"/>
    </xf>
    <xf borderId="0" fillId="0" fontId="6" numFmtId="0" xfId="0" applyAlignment="1" applyFont="1">
      <alignment vertical="center"/>
    </xf>
    <xf borderId="0" fillId="0" fontId="7" numFmtId="0" xfId="0" applyFont="1"/>
    <xf borderId="0" fillId="0" fontId="8" numFmtId="0" xfId="0" applyAlignment="1" applyFont="1">
      <alignment horizontal="left" vertical="center"/>
    </xf>
    <xf borderId="0" fillId="0" fontId="8" numFmtId="0" xfId="0" applyFont="1"/>
    <xf borderId="0" fillId="0" fontId="4" numFmtId="0" xfId="0" applyAlignment="1" applyFont="1">
      <alignment vertical="center"/>
    </xf>
    <xf borderId="0" fillId="0" fontId="9" numFmtId="0" xfId="0" applyFont="1"/>
    <xf borderId="0" fillId="0" fontId="10" numFmtId="0" xfId="0" applyAlignment="1" applyFont="1">
      <alignment vertical="center"/>
    </xf>
    <xf borderId="0" fillId="0" fontId="10" numFmtId="0" xfId="0" applyAlignment="1" applyFont="1">
      <alignment horizontal="center" vertical="center"/>
    </xf>
    <xf borderId="0" fillId="0" fontId="3" numFmtId="0" xfId="0" applyAlignment="1" applyFont="1">
      <alignment horizontal="center" vertical="center"/>
    </xf>
    <xf borderId="1" fillId="0" fontId="5"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5" numFmtId="0" xfId="0" applyAlignment="1" applyBorder="1" applyFont="1">
      <alignment horizontal="center" shrinkToFit="0" vertical="center" wrapText="1"/>
    </xf>
    <xf borderId="0" fillId="0" fontId="1" numFmtId="0" xfId="0" applyFont="1"/>
    <xf borderId="1" fillId="0" fontId="11" numFmtId="0" xfId="0" applyAlignment="1" applyBorder="1" applyFont="1">
      <alignment horizontal="left" readingOrder="1" shrinkToFit="0" vertical="center" wrapText="1"/>
    </xf>
    <xf borderId="0" fillId="0" fontId="12" numFmtId="0" xfId="0" applyFont="1"/>
    <xf borderId="1" fillId="0" fontId="13" numFmtId="0" xfId="0" applyAlignment="1" applyBorder="1" applyFont="1">
      <alignment horizontal="left" readingOrder="1" shrinkToFit="0" vertical="center" wrapText="1"/>
    </xf>
    <xf borderId="1" fillId="0" fontId="13" numFmtId="10" xfId="0" applyAlignment="1" applyBorder="1" applyFont="1" applyNumberFormat="1">
      <alignment horizontal="left" readingOrder="1" shrinkToFit="0" vertical="center" wrapText="1"/>
    </xf>
    <xf borderId="0" fillId="0" fontId="5" numFmtId="0" xfId="0" applyAlignment="1" applyFont="1">
      <alignment horizontal="center" vertical="center"/>
    </xf>
    <xf borderId="0" fillId="0" fontId="14" numFmtId="0" xfId="0" applyAlignment="1" applyFont="1">
      <alignment horizontal="center" vertical="center"/>
    </xf>
    <xf borderId="0" fillId="0" fontId="14" numFmtId="0" xfId="0" applyAlignment="1" applyFont="1">
      <alignment horizontal="left" vertical="center"/>
    </xf>
    <xf borderId="1" fillId="0" fontId="13" numFmtId="9" xfId="0" applyAlignment="1" applyBorder="1" applyFont="1" applyNumberFormat="1">
      <alignment horizontal="left" readingOrder="1" shrinkToFit="0" vertical="center" wrapText="1"/>
    </xf>
    <xf borderId="1" fillId="0" fontId="11" numFmtId="9" xfId="0" applyAlignment="1" applyBorder="1" applyFont="1" applyNumberFormat="1">
      <alignment horizontal="left" readingOrder="1" shrinkToFit="0" vertical="center" wrapText="1"/>
    </xf>
    <xf borderId="0" fillId="0" fontId="15" numFmtId="0" xfId="0" applyFont="1"/>
    <xf borderId="0" fillId="0" fontId="16" numFmtId="0" xfId="0" applyFont="1"/>
    <xf borderId="0" fillId="0" fontId="17" numFmtId="0" xfId="0" applyFont="1"/>
    <xf borderId="0" fillId="0" fontId="18" numFmtId="0" xfId="0" applyFont="1"/>
    <xf borderId="0" fillId="0" fontId="1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2.13"/>
    <col customWidth="1" min="2" max="26" width="8.63"/>
  </cols>
  <sheetData>
    <row r="1">
      <c r="A1" s="1" t="s">
        <v>0</v>
      </c>
    </row>
    <row r="2" ht="14.25" customHeight="1"/>
    <row r="3" ht="14.25" customHeight="1">
      <c r="A3" s="2" t="s">
        <v>1</v>
      </c>
    </row>
    <row r="4" ht="14.25" customHeight="1"/>
    <row r="5" ht="14.25" customHeight="1">
      <c r="A5" s="3" t="s">
        <v>2</v>
      </c>
    </row>
    <row r="6" ht="14.25" customHeight="1">
      <c r="A6" s="4"/>
    </row>
    <row r="7" ht="14.25" customHeight="1">
      <c r="A7" s="5" t="s">
        <v>3</v>
      </c>
    </row>
    <row r="8" ht="14.25" customHeight="1">
      <c r="A8" s="4"/>
    </row>
    <row r="9" ht="14.25" customHeight="1">
      <c r="A9" s="5" t="s">
        <v>4</v>
      </c>
    </row>
    <row r="10" ht="14.25" customHeight="1">
      <c r="A10" s="4"/>
    </row>
    <row r="11" ht="14.25" customHeight="1">
      <c r="A11" s="5" t="s">
        <v>5</v>
      </c>
    </row>
    <row r="12" ht="14.25" customHeight="1">
      <c r="A12" s="4"/>
    </row>
    <row r="13" ht="14.25" customHeight="1">
      <c r="A13" s="6"/>
    </row>
    <row r="14" ht="14.25" customHeight="1">
      <c r="A14" s="5" t="s">
        <v>6</v>
      </c>
    </row>
    <row r="15" ht="14.25" customHeight="1">
      <c r="A15" s="4"/>
    </row>
    <row r="16" ht="14.25" customHeight="1">
      <c r="A16" s="5" t="s">
        <v>7</v>
      </c>
    </row>
    <row r="17" ht="14.25" customHeight="1"/>
    <row r="18" ht="14.25" customHeight="1">
      <c r="A18" s="2" t="s">
        <v>8</v>
      </c>
    </row>
    <row r="19" ht="14.25" customHeight="1"/>
    <row r="20" ht="14.25" customHeight="1">
      <c r="A20" s="3" t="s">
        <v>9</v>
      </c>
    </row>
    <row r="21" ht="14.25" customHeight="1">
      <c r="A21" s="4"/>
    </row>
    <row r="22" ht="14.25" customHeight="1">
      <c r="A22" s="5" t="s">
        <v>10</v>
      </c>
    </row>
    <row r="23" ht="14.25" customHeight="1">
      <c r="A23" s="4"/>
    </row>
    <row r="24" ht="14.25" customHeight="1">
      <c r="A24" s="5" t="s">
        <v>11</v>
      </c>
    </row>
    <row r="25" ht="14.25" customHeight="1"/>
    <row r="26" ht="14.25" customHeight="1">
      <c r="A26" s="7" t="s">
        <v>12</v>
      </c>
    </row>
    <row r="27" ht="14.25" customHeight="1"/>
    <row r="28" ht="14.25" customHeight="1">
      <c r="A28" s="8" t="s">
        <v>13</v>
      </c>
    </row>
    <row r="29" ht="14.25" customHeight="1"/>
    <row r="30" ht="14.25" customHeight="1">
      <c r="A30" s="3" t="s">
        <v>14</v>
      </c>
    </row>
    <row r="31" ht="14.25" customHeight="1">
      <c r="A31" s="9" t="s">
        <v>15</v>
      </c>
    </row>
    <row r="32" ht="14.25" customHeight="1">
      <c r="A32" s="5" t="s">
        <v>16</v>
      </c>
    </row>
    <row r="33" ht="14.25" customHeight="1">
      <c r="A33" s="4"/>
    </row>
    <row r="34" ht="14.25" customHeight="1">
      <c r="A34" s="5" t="s">
        <v>17</v>
      </c>
    </row>
    <row r="35" ht="14.25" customHeight="1">
      <c r="A35" s="5"/>
    </row>
    <row r="36" ht="14.25" customHeight="1">
      <c r="A36" s="10" t="s">
        <v>18</v>
      </c>
    </row>
    <row r="37" ht="14.25" customHeight="1">
      <c r="A37" s="5" t="s">
        <v>19</v>
      </c>
    </row>
    <row r="38" ht="14.25" customHeight="1"/>
    <row r="39" ht="14.25" customHeight="1">
      <c r="A39" s="5" t="s">
        <v>20</v>
      </c>
    </row>
    <row r="40" ht="14.25" customHeight="1">
      <c r="A40" s="5"/>
    </row>
    <row r="41" ht="14.25" customHeight="1">
      <c r="A41" s="2" t="s">
        <v>21</v>
      </c>
    </row>
    <row r="42" ht="14.25" customHeight="1"/>
    <row r="43" ht="14.25" customHeight="1">
      <c r="A43" s="3" t="s">
        <v>22</v>
      </c>
    </row>
    <row r="44" ht="14.25" customHeight="1">
      <c r="A44" s="4"/>
    </row>
    <row r="45" ht="14.25" customHeight="1">
      <c r="A45" s="5" t="s">
        <v>23</v>
      </c>
    </row>
    <row r="46" ht="14.25" customHeight="1">
      <c r="A46" s="4"/>
    </row>
    <row r="47" ht="14.25" customHeight="1">
      <c r="A47" s="5" t="s">
        <v>24</v>
      </c>
    </row>
    <row r="48" ht="14.25" customHeight="1">
      <c r="A48" s="4"/>
    </row>
    <row r="49" ht="14.25" customHeight="1">
      <c r="A49" s="5" t="s">
        <v>25</v>
      </c>
    </row>
    <row r="50" ht="14.25" customHeight="1">
      <c r="A50" s="4"/>
    </row>
    <row r="51" ht="14.25" customHeight="1">
      <c r="A51" s="5" t="s">
        <v>26</v>
      </c>
    </row>
    <row r="52" ht="14.25" customHeight="1"/>
    <row r="53" ht="14.25" customHeight="1">
      <c r="A53" s="2" t="s">
        <v>27</v>
      </c>
    </row>
    <row r="54" ht="14.25" customHeight="1"/>
    <row r="55" ht="14.25" customHeight="1">
      <c r="A55" s="3" t="s">
        <v>28</v>
      </c>
    </row>
    <row r="56" ht="14.25" customHeight="1">
      <c r="A56" s="4"/>
    </row>
    <row r="57" ht="14.25" customHeight="1">
      <c r="A57" s="5" t="s">
        <v>29</v>
      </c>
    </row>
    <row r="58" ht="14.25" customHeight="1">
      <c r="A58" s="4"/>
    </row>
    <row r="59" ht="14.25" customHeight="1">
      <c r="A59" s="5" t="s">
        <v>30</v>
      </c>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8"/>
    <col customWidth="1" min="2" max="26" width="8.63"/>
  </cols>
  <sheetData>
    <row r="1" ht="14.25" customHeight="1">
      <c r="A1" s="3" t="s">
        <v>31</v>
      </c>
    </row>
    <row r="2" ht="14.25" customHeight="1"/>
    <row r="3" ht="14.25" customHeight="1">
      <c r="A3" s="3" t="s">
        <v>32</v>
      </c>
    </row>
    <row r="4" ht="14.25" customHeight="1"/>
    <row r="5" ht="14.25" customHeight="1"/>
    <row r="6" ht="14.25" customHeight="1"/>
    <row r="7" ht="14.25" customHeight="1">
      <c r="A7" s="2" t="s">
        <v>33</v>
      </c>
    </row>
    <row r="8" ht="14.25" customHeight="1"/>
    <row r="9" ht="14.25" customHeight="1">
      <c r="A9" s="3" t="s">
        <v>34</v>
      </c>
    </row>
    <row r="10" ht="14.25" customHeight="1">
      <c r="A10" s="4"/>
    </row>
    <row r="11" ht="14.25" customHeight="1">
      <c r="A11" s="5" t="s">
        <v>35</v>
      </c>
    </row>
    <row r="12" ht="14.25" customHeight="1">
      <c r="A12" s="4"/>
    </row>
    <row r="13" ht="14.25" customHeight="1">
      <c r="A13" s="5" t="s">
        <v>36</v>
      </c>
    </row>
    <row r="14" ht="14.25" customHeight="1">
      <c r="A14" s="4"/>
    </row>
    <row r="15" ht="14.25" customHeight="1">
      <c r="A15" s="5" t="s">
        <v>37</v>
      </c>
    </row>
    <row r="16" ht="14.25" customHeight="1"/>
    <row r="17" ht="14.25" customHeight="1"/>
    <row r="18" ht="14.25" customHeight="1"/>
    <row r="19" ht="14.25" customHeight="1">
      <c r="A19" s="2" t="s">
        <v>38</v>
      </c>
    </row>
    <row r="20" ht="14.25" customHeight="1"/>
    <row r="21" ht="14.25" customHeight="1">
      <c r="A21" s="3" t="s">
        <v>39</v>
      </c>
    </row>
    <row r="22" ht="14.25" customHeight="1">
      <c r="A22" s="4"/>
    </row>
    <row r="23" ht="14.25" customHeight="1">
      <c r="A23" s="5" t="s">
        <v>40</v>
      </c>
    </row>
    <row r="24" ht="14.25" customHeight="1">
      <c r="A24" s="4"/>
    </row>
    <row r="25" ht="14.25" customHeight="1">
      <c r="A25" s="5" t="s">
        <v>41</v>
      </c>
    </row>
    <row r="26" ht="14.25" customHeight="1"/>
    <row r="27" ht="14.25" customHeight="1">
      <c r="A27" s="3" t="s">
        <v>42</v>
      </c>
    </row>
    <row r="28" ht="14.25" customHeight="1">
      <c r="A28" s="11"/>
    </row>
    <row r="29" ht="14.25" customHeight="1">
      <c r="A29" s="3" t="s">
        <v>43</v>
      </c>
    </row>
    <row r="30" ht="14.25" customHeight="1">
      <c r="A30" s="7" t="s">
        <v>44</v>
      </c>
    </row>
    <row r="31" ht="14.25" customHeight="1"/>
    <row r="32" ht="14.25" customHeight="1">
      <c r="A32" s="12" t="s">
        <v>45</v>
      </c>
    </row>
    <row r="33" ht="14.25" customHeight="1"/>
    <row r="34" ht="14.25" customHeight="1">
      <c r="A34" s="13" t="s">
        <v>46</v>
      </c>
    </row>
    <row r="35" ht="14.25" customHeight="1">
      <c r="A35" s="4"/>
    </row>
    <row r="36" ht="14.25" customHeight="1">
      <c r="A36" s="9" t="s">
        <v>47</v>
      </c>
    </row>
    <row r="37" ht="14.25" customHeight="1">
      <c r="A37" s="4"/>
    </row>
    <row r="38" ht="14.25" customHeight="1">
      <c r="A38" s="9" t="s">
        <v>48</v>
      </c>
    </row>
    <row r="39" ht="14.25" customHeight="1">
      <c r="A39" s="4"/>
    </row>
    <row r="40" ht="14.25" customHeight="1">
      <c r="A40" s="9" t="s">
        <v>49</v>
      </c>
    </row>
    <row r="41" ht="14.25" customHeight="1">
      <c r="A41" s="4"/>
    </row>
    <row r="42" ht="14.25" customHeight="1">
      <c r="A42" s="9" t="s">
        <v>50</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13"/>
    <col customWidth="1" min="2" max="2" width="35.5"/>
    <col customWidth="1" min="3" max="3" width="37.5"/>
    <col customWidth="1" min="4" max="26" width="8.63"/>
  </cols>
  <sheetData>
    <row r="1" ht="14.25" customHeight="1">
      <c r="A1" s="14" t="s">
        <v>51</v>
      </c>
    </row>
    <row r="2" ht="14.25" customHeight="1"/>
    <row r="3" ht="14.25" customHeight="1">
      <c r="A3" s="15" t="s">
        <v>52</v>
      </c>
    </row>
    <row r="4" ht="14.25" customHeight="1"/>
    <row r="5" ht="14.25" customHeight="1">
      <c r="A5" s="16" t="s">
        <v>53</v>
      </c>
      <c r="B5" s="16" t="s">
        <v>54</v>
      </c>
      <c r="C5" s="16" t="s">
        <v>55</v>
      </c>
    </row>
    <row r="6" ht="14.25" customHeight="1">
      <c r="A6" s="16" t="s">
        <v>56</v>
      </c>
      <c r="B6" s="17">
        <v>6.0</v>
      </c>
      <c r="C6" s="18" t="s">
        <v>57</v>
      </c>
    </row>
    <row r="7" ht="14.25" customHeight="1">
      <c r="A7" s="16" t="s">
        <v>58</v>
      </c>
      <c r="B7" s="17">
        <v>4.0</v>
      </c>
      <c r="C7" s="18" t="s">
        <v>59</v>
      </c>
    </row>
    <row r="8" ht="14.25" customHeight="1">
      <c r="A8" s="16" t="s">
        <v>60</v>
      </c>
      <c r="B8" s="17">
        <v>2.0</v>
      </c>
      <c r="C8" s="18" t="s">
        <v>61</v>
      </c>
    </row>
    <row r="9" ht="14.25" customHeight="1">
      <c r="A9" s="16" t="s">
        <v>62</v>
      </c>
      <c r="B9" s="17">
        <v>4.0</v>
      </c>
      <c r="C9" s="18" t="s">
        <v>63</v>
      </c>
    </row>
    <row r="10" ht="14.25" customHeight="1">
      <c r="A10" s="16" t="s">
        <v>64</v>
      </c>
      <c r="B10" s="17">
        <v>5.0</v>
      </c>
      <c r="C10" s="18" t="s">
        <v>65</v>
      </c>
    </row>
    <row r="11" ht="14.25" customHeight="1">
      <c r="A11" s="16" t="s">
        <v>66</v>
      </c>
      <c r="B11" s="17">
        <v>32.0</v>
      </c>
      <c r="C11" s="18" t="s">
        <v>66</v>
      </c>
    </row>
    <row r="12" ht="14.25" customHeight="1">
      <c r="A12" s="16" t="s">
        <v>67</v>
      </c>
      <c r="B12" s="17">
        <v>2.0</v>
      </c>
      <c r="C12" s="18" t="s">
        <v>68</v>
      </c>
    </row>
    <row r="13" ht="14.25" customHeight="1">
      <c r="A13" s="16" t="s">
        <v>69</v>
      </c>
      <c r="B13" s="19">
        <f>SUM(B6:B12)</f>
        <v>55</v>
      </c>
      <c r="C13" s="18"/>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C1"/>
    <mergeCell ref="A3:B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13"/>
    <col customWidth="1" min="2" max="2" width="30.13"/>
    <col customWidth="1" min="3" max="3" width="52.0"/>
    <col customWidth="1" min="4" max="4" width="8.63"/>
    <col customWidth="1" min="5" max="5" width="21.38"/>
    <col customWidth="1" min="6" max="26" width="8.63"/>
  </cols>
  <sheetData>
    <row r="1" ht="14.25" customHeight="1">
      <c r="A1" s="10" t="s">
        <v>70</v>
      </c>
    </row>
    <row r="2">
      <c r="A2" s="20" t="s">
        <v>71</v>
      </c>
    </row>
    <row r="3" ht="14.25" customHeight="1">
      <c r="A3" s="21" t="s">
        <v>72</v>
      </c>
      <c r="B3" s="21" t="s">
        <v>73</v>
      </c>
      <c r="C3" s="21" t="s">
        <v>74</v>
      </c>
      <c r="E3" s="22"/>
    </row>
    <row r="4" ht="14.25" customHeight="1">
      <c r="A4" s="21" t="s">
        <v>75</v>
      </c>
      <c r="B4" s="21" t="s">
        <v>76</v>
      </c>
      <c r="C4" s="23" t="s">
        <v>77</v>
      </c>
      <c r="E4" s="12" t="s">
        <v>78</v>
      </c>
      <c r="G4" s="12">
        <v>0.5</v>
      </c>
    </row>
    <row r="5" ht="14.25" customHeight="1">
      <c r="A5" s="21" t="s">
        <v>79</v>
      </c>
      <c r="B5" s="21" t="s">
        <v>80</v>
      </c>
      <c r="C5" s="23" t="s">
        <v>81</v>
      </c>
      <c r="E5" s="12" t="s">
        <v>82</v>
      </c>
      <c r="G5" s="12">
        <v>8.0</v>
      </c>
    </row>
    <row r="6" ht="14.25" customHeight="1">
      <c r="A6" s="21" t="s">
        <v>83</v>
      </c>
      <c r="B6" s="21" t="s">
        <v>84</v>
      </c>
      <c r="C6" s="23" t="s">
        <v>85</v>
      </c>
      <c r="E6" s="12" t="s">
        <v>86</v>
      </c>
      <c r="G6" s="8">
        <f>G5*8*1024</f>
        <v>65536</v>
      </c>
    </row>
    <row r="7" ht="14.25" customHeight="1">
      <c r="E7" s="12" t="s">
        <v>87</v>
      </c>
      <c r="G7" s="12">
        <v>0.5</v>
      </c>
    </row>
    <row r="8" ht="14.25" customHeight="1">
      <c r="E8" s="12" t="s">
        <v>88</v>
      </c>
      <c r="G8" s="8">
        <f>G4*G6*0.000001/G7</f>
        <v>0.065536</v>
      </c>
    </row>
    <row r="9" ht="14.25" customHeight="1"/>
    <row r="10" ht="14.25" customHeight="1"/>
    <row r="11" ht="14.25" customHeight="1">
      <c r="A11" s="21" t="s">
        <v>89</v>
      </c>
      <c r="B11" s="21" t="s">
        <v>90</v>
      </c>
      <c r="C11" s="21" t="s">
        <v>91</v>
      </c>
    </row>
    <row r="12" ht="14.25" customHeight="1">
      <c r="A12" s="21" t="s">
        <v>92</v>
      </c>
      <c r="B12" s="23" t="s">
        <v>93</v>
      </c>
      <c r="C12" s="24">
        <v>0.009</v>
      </c>
    </row>
    <row r="13" ht="14.25" customHeight="1">
      <c r="A13" s="21" t="s">
        <v>94</v>
      </c>
      <c r="B13" s="23" t="s">
        <v>95</v>
      </c>
      <c r="C13" s="24">
        <v>0.026</v>
      </c>
    </row>
    <row r="14" ht="14.25" customHeight="1">
      <c r="A14" s="21" t="s">
        <v>96</v>
      </c>
      <c r="B14" s="23" t="s">
        <v>97</v>
      </c>
      <c r="C14" s="24">
        <v>0.088</v>
      </c>
    </row>
    <row r="15" ht="14.25" customHeight="1">
      <c r="A15" s="21" t="s">
        <v>98</v>
      </c>
      <c r="B15" s="23" t="s">
        <v>99</v>
      </c>
      <c r="C15" s="24">
        <v>0.333</v>
      </c>
    </row>
    <row r="16" ht="14.25" customHeight="1">
      <c r="A16" s="21" t="s">
        <v>100</v>
      </c>
      <c r="B16" s="23" t="s">
        <v>101</v>
      </c>
      <c r="C16" s="24">
        <v>0.644</v>
      </c>
    </row>
    <row r="17" ht="14.25" customHeight="1"/>
    <row r="18" ht="14.25" customHeight="1">
      <c r="A18" s="2" t="s">
        <v>102</v>
      </c>
    </row>
    <row r="19" ht="14.25" customHeight="1"/>
    <row r="20" ht="14.25" customHeight="1">
      <c r="A20" s="15" t="s">
        <v>103</v>
      </c>
    </row>
    <row r="21" ht="14.25" customHeight="1">
      <c r="A21" s="4"/>
    </row>
    <row r="22" ht="14.25" customHeight="1">
      <c r="A22" s="25" t="s">
        <v>104</v>
      </c>
    </row>
    <row r="23" ht="14.25" customHeight="1">
      <c r="A23" s="4"/>
    </row>
    <row r="24" ht="14.25" customHeight="1">
      <c r="A24" s="25" t="s">
        <v>105</v>
      </c>
    </row>
    <row r="25" ht="14.25" customHeight="1"/>
    <row r="26" ht="14.25" customHeight="1">
      <c r="A26" s="2" t="s">
        <v>106</v>
      </c>
    </row>
    <row r="27" ht="14.25" customHeight="1">
      <c r="A27" s="4"/>
    </row>
    <row r="28" ht="14.25" customHeight="1">
      <c r="A28" s="25" t="s">
        <v>107</v>
      </c>
    </row>
    <row r="29" ht="14.25" customHeight="1">
      <c r="A29" s="4"/>
    </row>
    <row r="30" ht="14.25" customHeight="1">
      <c r="A30" s="6"/>
    </row>
    <row r="31" ht="14.25" customHeight="1"/>
    <row r="32" ht="14.25" customHeight="1">
      <c r="A32" s="5" t="s">
        <v>108</v>
      </c>
    </row>
    <row r="33" ht="14.25" customHeight="1">
      <c r="A33" s="26" t="s">
        <v>109</v>
      </c>
    </row>
    <row r="34" ht="14.25" customHeight="1">
      <c r="A34" s="4"/>
    </row>
    <row r="35" ht="14.25" customHeight="1">
      <c r="A35" s="5" t="s">
        <v>110</v>
      </c>
    </row>
    <row r="36" ht="14.25" customHeight="1">
      <c r="A36" s="4"/>
    </row>
    <row r="37" ht="14.25" customHeight="1">
      <c r="A37" s="6"/>
    </row>
    <row r="38" ht="14.25" customHeight="1">
      <c r="A38" s="5" t="s">
        <v>111</v>
      </c>
    </row>
    <row r="39" ht="14.25" customHeight="1">
      <c r="A39" s="4"/>
    </row>
    <row r="40" ht="14.25" customHeight="1">
      <c r="A40" s="5" t="s">
        <v>112</v>
      </c>
    </row>
    <row r="41" ht="14.25" customHeight="1"/>
    <row r="42" ht="14.25" customHeight="1">
      <c r="A42" s="2" t="s">
        <v>113</v>
      </c>
    </row>
    <row r="43" ht="14.25" customHeight="1">
      <c r="A43" s="4"/>
    </row>
    <row r="44" ht="14.25" customHeight="1">
      <c r="A44" s="5" t="s">
        <v>114</v>
      </c>
    </row>
    <row r="45" ht="14.25" customHeight="1">
      <c r="A45" s="4"/>
    </row>
    <row r="46" ht="14.25" customHeight="1">
      <c r="A46" s="6"/>
    </row>
    <row r="47" ht="14.25" customHeight="1">
      <c r="A47" s="25" t="s">
        <v>115</v>
      </c>
    </row>
    <row r="48" ht="14.25" customHeight="1">
      <c r="A48" s="4"/>
    </row>
    <row r="49" ht="14.25" customHeight="1">
      <c r="A49" s="5" t="s">
        <v>116</v>
      </c>
    </row>
    <row r="50" ht="14.25" customHeight="1">
      <c r="A50" s="4"/>
    </row>
    <row r="51" ht="14.25" customHeight="1">
      <c r="A51" s="27" t="s">
        <v>117</v>
      </c>
    </row>
    <row r="52" ht="14.25" customHeight="1">
      <c r="A52" s="4"/>
    </row>
    <row r="53" ht="14.25" customHeight="1">
      <c r="A53" s="5" t="s">
        <v>118</v>
      </c>
    </row>
    <row r="54" ht="14.25" customHeight="1">
      <c r="A54" s="4"/>
    </row>
    <row r="55" ht="14.25" customHeight="1">
      <c r="A55" s="6"/>
    </row>
    <row r="56" ht="14.25" customHeight="1">
      <c r="A56" s="5" t="s">
        <v>119</v>
      </c>
    </row>
    <row r="57" ht="14.25" customHeight="1">
      <c r="A57" s="4"/>
    </row>
    <row r="58" ht="14.25" customHeight="1">
      <c r="A58" s="5" t="s">
        <v>120</v>
      </c>
    </row>
    <row r="59" ht="14.25" customHeight="1"/>
    <row r="60" ht="14.25" customHeight="1">
      <c r="A60" s="2" t="s">
        <v>121</v>
      </c>
    </row>
    <row r="61" ht="14.25" customHeight="1">
      <c r="A61" s="4"/>
    </row>
    <row r="62" ht="14.25" customHeight="1">
      <c r="A62" s="5" t="s">
        <v>122</v>
      </c>
    </row>
    <row r="63" ht="14.25" customHeight="1">
      <c r="A63" s="4"/>
    </row>
    <row r="64" ht="14.25" customHeight="1">
      <c r="A64" s="6"/>
    </row>
    <row r="65" ht="14.25" customHeight="1">
      <c r="A65" s="5" t="s">
        <v>123</v>
      </c>
    </row>
    <row r="66" ht="14.25" customHeight="1">
      <c r="A66" s="4"/>
    </row>
    <row r="67" ht="14.25" customHeight="1">
      <c r="A67" s="5" t="s">
        <v>124</v>
      </c>
    </row>
    <row r="68" ht="14.25" customHeight="1">
      <c r="A68" s="4"/>
    </row>
    <row r="69" ht="14.25" customHeight="1">
      <c r="A69" s="25" t="s">
        <v>125</v>
      </c>
    </row>
    <row r="70" ht="14.25" customHeight="1">
      <c r="A70" s="4"/>
    </row>
    <row r="71" ht="14.25" customHeight="1">
      <c r="A71" s="5" t="s">
        <v>126</v>
      </c>
    </row>
    <row r="72" ht="14.25" customHeight="1">
      <c r="A72" s="4"/>
    </row>
    <row r="73" ht="14.25" customHeight="1">
      <c r="A73" s="6"/>
    </row>
    <row r="74" ht="14.25" customHeight="1">
      <c r="A74" s="5" t="s">
        <v>127</v>
      </c>
    </row>
    <row r="75" ht="14.25" customHeight="1">
      <c r="A75" s="4"/>
    </row>
    <row r="76" ht="14.25" customHeight="1">
      <c r="A76" s="5" t="s">
        <v>128</v>
      </c>
    </row>
    <row r="77" ht="14.25" customHeight="1"/>
    <row r="78" ht="14.25" customHeight="1">
      <c r="A78" s="2" t="s">
        <v>129</v>
      </c>
    </row>
    <row r="79" ht="14.25" customHeight="1">
      <c r="A79" s="4"/>
    </row>
    <row r="80" ht="14.25" customHeight="1">
      <c r="A80" s="5" t="s">
        <v>130</v>
      </c>
    </row>
    <row r="81" ht="14.25" customHeight="1">
      <c r="A81" s="4"/>
    </row>
    <row r="82" ht="14.25" customHeight="1">
      <c r="A82" s="6"/>
    </row>
    <row r="83" ht="14.25" customHeight="1">
      <c r="A83" s="5" t="s">
        <v>131</v>
      </c>
    </row>
    <row r="84" ht="14.25" customHeight="1">
      <c r="A84" s="4"/>
    </row>
    <row r="85" ht="14.25" customHeight="1">
      <c r="A85" s="5" t="s">
        <v>132</v>
      </c>
    </row>
    <row r="86" ht="14.25" customHeight="1">
      <c r="A86" s="4"/>
    </row>
    <row r="87" ht="14.25" customHeight="1">
      <c r="A87" s="5" t="s">
        <v>133</v>
      </c>
    </row>
    <row r="88" ht="14.25" customHeight="1">
      <c r="A88" s="4"/>
    </row>
    <row r="89" ht="14.25" customHeight="1">
      <c r="A89" s="6"/>
    </row>
    <row r="90" ht="14.25" customHeight="1">
      <c r="A90" s="5" t="s">
        <v>134</v>
      </c>
    </row>
    <row r="91" ht="14.25" customHeight="1">
      <c r="A91" s="4"/>
    </row>
    <row r="92" ht="14.25" customHeight="1">
      <c r="A92" s="5" t="s">
        <v>135</v>
      </c>
    </row>
    <row r="93" ht="14.25" customHeight="1"/>
    <row r="94" ht="14.25" customHeight="1">
      <c r="A94" s="10" t="s">
        <v>136</v>
      </c>
    </row>
    <row r="95" ht="14.25" customHeight="1"/>
    <row r="96" ht="14.25" customHeight="1"/>
    <row r="97" ht="14.25" customHeight="1">
      <c r="A97" s="21" t="s">
        <v>137</v>
      </c>
      <c r="B97" s="21" t="s">
        <v>138</v>
      </c>
      <c r="C97" s="21" t="s">
        <v>139</v>
      </c>
    </row>
    <row r="98" ht="14.25" customHeight="1">
      <c r="A98" s="21" t="s">
        <v>140</v>
      </c>
      <c r="B98" s="23" t="s">
        <v>141</v>
      </c>
      <c r="C98" s="28">
        <v>0.11</v>
      </c>
    </row>
    <row r="99" ht="14.25" customHeight="1">
      <c r="A99" s="21" t="s">
        <v>142</v>
      </c>
      <c r="B99" s="23" t="s">
        <v>143</v>
      </c>
      <c r="C99" s="28">
        <v>0.05</v>
      </c>
    </row>
    <row r="100" ht="14.25" customHeight="1">
      <c r="A100" s="21" t="s">
        <v>144</v>
      </c>
      <c r="B100" s="23" t="s">
        <v>145</v>
      </c>
      <c r="C100" s="28">
        <v>0.09</v>
      </c>
    </row>
    <row r="101" ht="14.25" customHeight="1">
      <c r="A101" s="21" t="s">
        <v>146</v>
      </c>
      <c r="B101" s="23" t="s">
        <v>147</v>
      </c>
      <c r="C101" s="28">
        <v>0.35</v>
      </c>
    </row>
    <row r="102" ht="14.25" customHeight="1">
      <c r="A102" s="21" t="s">
        <v>148</v>
      </c>
      <c r="B102" s="23" t="s">
        <v>149</v>
      </c>
      <c r="C102" s="29">
        <v>0.4</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83:B83"/>
    <mergeCell ref="A85:B85"/>
    <mergeCell ref="A20:C20"/>
    <mergeCell ref="A22:C22"/>
    <mergeCell ref="A24:C24"/>
    <mergeCell ref="A28:C28"/>
    <mergeCell ref="A33:B33"/>
    <mergeCell ref="A47:B47"/>
    <mergeCell ref="A69:B69"/>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0.13"/>
    <col customWidth="1" min="3" max="3" width="36.25"/>
    <col customWidth="1" min="4" max="4" width="26.75"/>
  </cols>
  <sheetData>
    <row r="1">
      <c r="A1" s="30" t="s">
        <v>150</v>
      </c>
      <c r="B1" s="31"/>
      <c r="C1" s="31"/>
      <c r="D1" s="31"/>
    </row>
    <row r="2">
      <c r="A2" s="31"/>
      <c r="B2" s="31"/>
      <c r="C2" s="31"/>
      <c r="D2" s="31"/>
    </row>
    <row r="3">
      <c r="A3" s="31" t="s">
        <v>151</v>
      </c>
      <c r="B3" s="31" t="s">
        <v>152</v>
      </c>
      <c r="C3" s="31" t="s">
        <v>153</v>
      </c>
      <c r="D3" s="31" t="s">
        <v>154</v>
      </c>
    </row>
    <row r="4">
      <c r="A4" s="32" t="s">
        <v>155</v>
      </c>
      <c r="B4" s="31" t="s">
        <v>156</v>
      </c>
      <c r="C4" s="31" t="s">
        <v>157</v>
      </c>
      <c r="D4" s="32" t="s">
        <v>158</v>
      </c>
    </row>
    <row r="5">
      <c r="A5" s="32" t="s">
        <v>159</v>
      </c>
      <c r="B5" s="31" t="s">
        <v>160</v>
      </c>
      <c r="C5" s="31" t="s">
        <v>161</v>
      </c>
      <c r="D5" s="32" t="s">
        <v>162</v>
      </c>
      <c r="F5" s="8">
        <f>0.7*1.4</f>
        <v>0.98</v>
      </c>
    </row>
    <row r="6">
      <c r="A6" s="32" t="s">
        <v>163</v>
      </c>
      <c r="B6" s="31" t="s">
        <v>164</v>
      </c>
      <c r="C6" s="31" t="s">
        <v>165</v>
      </c>
      <c r="D6" s="32" t="s">
        <v>166</v>
      </c>
      <c r="F6" s="8">
        <f>1000000*0.5/F5</f>
        <v>510204.0816</v>
      </c>
    </row>
    <row r="9">
      <c r="A9" s="33" t="s">
        <v>167</v>
      </c>
    </row>
    <row r="10">
      <c r="A10" s="34"/>
    </row>
    <row r="11">
      <c r="A11" s="34" t="s">
        <v>168</v>
      </c>
    </row>
    <row r="12">
      <c r="A12" s="34"/>
    </row>
    <row r="13">
      <c r="A13" s="34" t="s">
        <v>169</v>
      </c>
    </row>
    <row r="14">
      <c r="A14" s="34"/>
    </row>
    <row r="15">
      <c r="A15" s="34" t="s">
        <v>170</v>
      </c>
    </row>
  </sheetData>
  <mergeCells count="4">
    <mergeCell ref="A9:D9"/>
    <mergeCell ref="A11:F11"/>
    <mergeCell ref="A13:D13"/>
    <mergeCell ref="A15:D15"/>
  </mergeCell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2026-02-09T08:51:05Z</dcterms:created>
  <dc:creator>Bharathwaj T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9e395e-e3b5-421f-8616-70a10f9451af_Enabled">
    <vt:lpwstr>true</vt:lpwstr>
  </property>
  <property fmtid="{D5CDD505-2E9C-101B-9397-08002B2CF9AE}" pid="3" name="MSIP_Label_879e395e-e3b5-421f-8616-70a10f9451af_SetDate">
    <vt:lpwstr>2026-02-09T09:41:20Z</vt:lpwstr>
  </property>
  <property fmtid="{D5CDD505-2E9C-101B-9397-08002B2CF9AE}" pid="4" name="MSIP_Label_879e395e-e3b5-421f-8616-70a10f9451af_Method">
    <vt:lpwstr>Standard</vt:lpwstr>
  </property>
  <property fmtid="{D5CDD505-2E9C-101B-9397-08002B2CF9AE}" pid="5" name="MSIP_Label_879e395e-e3b5-421f-8616-70a10f9451af_Name">
    <vt:lpwstr>879e395e-e3b5-421f-8616-70a10f9451af</vt:lpwstr>
  </property>
  <property fmtid="{D5CDD505-2E9C-101B-9397-08002B2CF9AE}" pid="6" name="MSIP_Label_879e395e-e3b5-421f-8616-70a10f9451af_SiteId">
    <vt:lpwstr>0beb0c35-9cbb-4feb-99e5-589e415c7944</vt:lpwstr>
  </property>
  <property fmtid="{D5CDD505-2E9C-101B-9397-08002B2CF9AE}" pid="7" name="MSIP_Label_879e395e-e3b5-421f-8616-70a10f9451af_ActionId">
    <vt:lpwstr>57d12fd2-134a-419f-ab29-990634e74626</vt:lpwstr>
  </property>
  <property fmtid="{D5CDD505-2E9C-101B-9397-08002B2CF9AE}" pid="8" name="MSIP_Label_879e395e-e3b5-421f-8616-70a10f9451af_ContentBits">
    <vt:lpwstr>0</vt:lpwstr>
  </property>
  <property fmtid="{D5CDD505-2E9C-101B-9397-08002B2CF9AE}" pid="9" name="MSIP_Label_879e395e-e3b5-421f-8616-70a10f9451af_Tag">
    <vt:lpwstr>10, 3, 0, 1</vt:lpwstr>
  </property>
</Properties>
</file>